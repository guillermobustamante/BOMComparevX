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yetro\Downloads\"/>
    </mc:Choice>
  </mc:AlternateContent>
  <xr:revisionPtr revIDLastSave="0" documentId="8_{4A0CF69C-8EE5-482E-9B12-19A5B4952E7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xample" sheetId="4" r:id="rId1"/>
    <sheet name="©" sheetId="5" r:id="rId2"/>
  </sheets>
  <definedNames>
    <definedName name="_xlnm._FilterDatabase" localSheetId="0" hidden="1">Example!$A$1:$H$1</definedName>
    <definedName name="_xlnm.Print_Area" localSheetId="0">Example!$A$1:$J$21</definedName>
    <definedName name="_xlnm.Print_Titles" localSheetId="0">Example!$1:$1</definedName>
    <definedName name="valuevx">42.314159</definedName>
    <definedName name="vertex42_copyright" hidden="1">"© 2012-2019 Vertex42 LLC"</definedName>
    <definedName name="vertex42_id" hidden="1">"bill-of-materials.xlsx"</definedName>
    <definedName name="vertex42_title" hidden="1">"Bill of Materials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4" l="1"/>
  <c r="J15" i="4"/>
  <c r="J16" i="4"/>
  <c r="J17" i="4"/>
  <c r="J18" i="4"/>
  <c r="J19" i="4"/>
  <c r="J20" i="4"/>
  <c r="J21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<sst xmlns="http://schemas.openxmlformats.org/spreadsheetml/2006/main" count="100" uniqueCount="51">
  <si>
    <t>Unit Cost</t>
  </si>
  <si>
    <t>Part Name</t>
  </si>
  <si>
    <t>Part #</t>
  </si>
  <si>
    <t>Picture</t>
  </si>
  <si>
    <t>PLATE 1X2 W. 1 KNOB</t>
  </si>
  <si>
    <t>PLATE 1X1 ROUND</t>
  </si>
  <si>
    <t>194 - Medium Stone Grey</t>
  </si>
  <si>
    <t>Cost</t>
  </si>
  <si>
    <t>Category</t>
  </si>
  <si>
    <t>Qty</t>
  </si>
  <si>
    <t>Units</t>
  </si>
  <si>
    <t>Bill of Materials Template</t>
  </si>
  <si>
    <t>each</t>
  </si>
  <si>
    <t>PLATE 1X1</t>
  </si>
  <si>
    <t>PLATE 1X2</t>
  </si>
  <si>
    <t>PLATE 1X3</t>
  </si>
  <si>
    <t>PLATE 2X2</t>
  </si>
  <si>
    <t>FLAT TILE 1X1</t>
  </si>
  <si>
    <t>RADIATOR GRILLE 1X2</t>
  </si>
  <si>
    <t>PLATE 1X1 W/HOLDER VERTICAL</t>
  </si>
  <si>
    <t>FLAT TILE 1X4</t>
  </si>
  <si>
    <t>PLATE 2X1 W/HOLDER,VERTICAL</t>
  </si>
  <si>
    <t>PLATE 1X2 W. STICK</t>
  </si>
  <si>
    <t>COUPLING PLATE 2X2</t>
  </si>
  <si>
    <t>PLATE 1X1 W/TOOTH</t>
  </si>
  <si>
    <t>1/2 BUSH</t>
  </si>
  <si>
    <t>BUSH FOR CROSS AXLE</t>
  </si>
  <si>
    <t>STICK/AERIAL</t>
  </si>
  <si>
    <t>1 - White</t>
  </si>
  <si>
    <t>21 - Bright Red</t>
  </si>
  <si>
    <t>199 - Dark Stone Grey</t>
  </si>
  <si>
    <t>ROOF TILE 1X1X2/3, ABS</t>
  </si>
  <si>
    <t>Bricks, Sloping</t>
  </si>
  <si>
    <t>Plates</t>
  </si>
  <si>
    <t>Elem ID</t>
  </si>
  <si>
    <t>Plates, Special</t>
  </si>
  <si>
    <t>Bricks, Special</t>
  </si>
  <si>
    <t>Technic</t>
  </si>
  <si>
    <t>Accessories</t>
  </si>
  <si>
    <t>5 - Brick Yellow</t>
  </si>
  <si>
    <t>Color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</si>
  <si>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</si>
  <si>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</si>
  <si>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</si>
  <si>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https://www.vertex42.com/ExcelTemplates/bill-of-materials.html</t>
  </si>
  <si>
    <t>https://www.vertex42.com/licensing/EULA_privateuse.html</t>
  </si>
  <si>
    <t>This spreadsheet, including all worksheets and associated content is a copyrighted work under the United States and other copyright laws.</t>
  </si>
  <si>
    <t>Do not delete this worksheet</t>
  </si>
  <si>
    <t>License Agreement</t>
  </si>
  <si>
    <t>© 2012-2019 Vertex42 LLC</t>
  </si>
  <si>
    <t>2 -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</si>
</sst>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10" x14ac:knownFonts="1"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1"/>
      <scheme val="major"/>
    </font>
    <font>
      <sz val="10"/>
      <name val="Trebuchet MS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18"/>
      <color theme="4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164" fontId="4" fillId="0" borderId="0" xfId="1" applyFont="1" applyAlignment="1">
      <alignment vertical="top"/>
    </xf>
    <xf numFmtId="165" fontId="4" fillId="2" borderId="0" xfId="0" applyNumberFormat="1" applyFont="1" applyFill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5" fillId="0" borderId="3" xfId="0" applyFont="1" applyBorder="1" applyAlignment="1">
      <alignment horizontal="left" wrapText="1" inden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8" fillId="0" borderId="2" xfId="0" applyFont="1" applyBorder="1" applyAlignment="1">
      <alignment horizontal="left" vertical="center"/>
    </xf>
    <xf numFmtId="0" fontId="2" fillId="0" borderId="1" xfId="2" applyBorder="1" applyAlignment="1" applyProtection="1">
      <alignment horizontal="left" wrapText="1"/>
    </xf>
    <xf numFmtId="0" fontId="7" fillId="0" borderId="1" xfId="2" applyFont="1" applyBorder="1" applyAlignment="1" applyProtection="1">
      <alignment horizontal="left" wrapText="1"/>
    </xf>
    <xf numFmtId="0" fontId="9" fillId="0" borderId="1" xfId="0" applyFont="1" applyBorder="1" applyAlignment="1">
      <alignment horizontal="left" wrapText="1"/>
    </xf>
  </cellXfs>
  <cellStyles count="3">
    <cellStyle name="Currency" xfId="1" builtinId="4"/>
    <cellStyle name="Hyperlink" xfId="2" builtinId="8"/>
    <cellStyle name="Normal" xfId="0" builtinId="0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5" formatCode="_([$$-409]* #,##0.00_);_([$$-409]* \(#,##0.00\);_([$$-409]* &quot;-&quot;??_);_(@_)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5" formatCode="_([$$-409]* #,##0.00_);_([$$-409]* \(#,##0.00\);_([$$-409]* &quot;-&quot;??_);_(@_)"/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4F4F4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0</xdr:rowOff>
    </xdr:from>
    <xdr:to>
      <xdr:col>7</xdr:col>
      <xdr:colOff>781050</xdr:colOff>
      <xdr:row>1</xdr:row>
      <xdr:rowOff>609600</xdr:rowOff>
    </xdr:to>
    <xdr:pic>
      <xdr:nvPicPr>
        <xdr:cNvPr id="19" name=" Screenshot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2669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</xdr:row>
      <xdr:rowOff>0</xdr:rowOff>
    </xdr:from>
    <xdr:to>
      <xdr:col>7</xdr:col>
      <xdr:colOff>781050</xdr:colOff>
      <xdr:row>2</xdr:row>
      <xdr:rowOff>609600</xdr:rowOff>
    </xdr:to>
    <xdr:pic>
      <xdr:nvPicPr>
        <xdr:cNvPr id="20" name=" Screenshot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28956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3</xdr:row>
      <xdr:rowOff>0</xdr:rowOff>
    </xdr:from>
    <xdr:to>
      <xdr:col>7</xdr:col>
      <xdr:colOff>781050</xdr:colOff>
      <xdr:row>3</xdr:row>
      <xdr:rowOff>609600</xdr:rowOff>
    </xdr:to>
    <xdr:pic>
      <xdr:nvPicPr>
        <xdr:cNvPr id="21" name=" Screenshot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35242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4</xdr:row>
      <xdr:rowOff>0</xdr:rowOff>
    </xdr:from>
    <xdr:to>
      <xdr:col>7</xdr:col>
      <xdr:colOff>781050</xdr:colOff>
      <xdr:row>4</xdr:row>
      <xdr:rowOff>609600</xdr:rowOff>
    </xdr:to>
    <xdr:pic>
      <xdr:nvPicPr>
        <xdr:cNvPr id="22" name=" Screenshot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1529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5</xdr:row>
      <xdr:rowOff>0</xdr:rowOff>
    </xdr:from>
    <xdr:to>
      <xdr:col>7</xdr:col>
      <xdr:colOff>781050</xdr:colOff>
      <xdr:row>5</xdr:row>
      <xdr:rowOff>609600</xdr:rowOff>
    </xdr:to>
    <xdr:pic>
      <xdr:nvPicPr>
        <xdr:cNvPr id="23" name=" Screensho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47815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6</xdr:row>
      <xdr:rowOff>0</xdr:rowOff>
    </xdr:from>
    <xdr:to>
      <xdr:col>7</xdr:col>
      <xdr:colOff>781050</xdr:colOff>
      <xdr:row>6</xdr:row>
      <xdr:rowOff>609600</xdr:rowOff>
    </xdr:to>
    <xdr:pic>
      <xdr:nvPicPr>
        <xdr:cNvPr id="24" name=" Screenshot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54102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7</xdr:row>
      <xdr:rowOff>0</xdr:rowOff>
    </xdr:from>
    <xdr:to>
      <xdr:col>7</xdr:col>
      <xdr:colOff>781050</xdr:colOff>
      <xdr:row>7</xdr:row>
      <xdr:rowOff>609600</xdr:rowOff>
    </xdr:to>
    <xdr:pic>
      <xdr:nvPicPr>
        <xdr:cNvPr id="25" name=" Screenshot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0388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8</xdr:row>
      <xdr:rowOff>0</xdr:rowOff>
    </xdr:from>
    <xdr:to>
      <xdr:col>7</xdr:col>
      <xdr:colOff>781050</xdr:colOff>
      <xdr:row>8</xdr:row>
      <xdr:rowOff>609600</xdr:rowOff>
    </xdr:to>
    <xdr:pic>
      <xdr:nvPicPr>
        <xdr:cNvPr id="26" name=" Screenshot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66675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9</xdr:row>
      <xdr:rowOff>0</xdr:rowOff>
    </xdr:from>
    <xdr:to>
      <xdr:col>7</xdr:col>
      <xdr:colOff>781050</xdr:colOff>
      <xdr:row>9</xdr:row>
      <xdr:rowOff>609600</xdr:rowOff>
    </xdr:to>
    <xdr:pic>
      <xdr:nvPicPr>
        <xdr:cNvPr id="27" name=" Screenshot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2961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10</xdr:row>
      <xdr:rowOff>0</xdr:rowOff>
    </xdr:from>
    <xdr:to>
      <xdr:col>7</xdr:col>
      <xdr:colOff>781050</xdr:colOff>
      <xdr:row>10</xdr:row>
      <xdr:rowOff>609600</xdr:rowOff>
    </xdr:to>
    <xdr:pic>
      <xdr:nvPicPr>
        <xdr:cNvPr id="28" name=" Screenshot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79248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11</xdr:row>
      <xdr:rowOff>0</xdr:rowOff>
    </xdr:from>
    <xdr:to>
      <xdr:col>7</xdr:col>
      <xdr:colOff>781050</xdr:colOff>
      <xdr:row>11</xdr:row>
      <xdr:rowOff>609600</xdr:rowOff>
    </xdr:to>
    <xdr:pic>
      <xdr:nvPicPr>
        <xdr:cNvPr id="29" name=" Screenshot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5534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12</xdr:row>
      <xdr:rowOff>0</xdr:rowOff>
    </xdr:from>
    <xdr:to>
      <xdr:col>7</xdr:col>
      <xdr:colOff>781050</xdr:colOff>
      <xdr:row>12</xdr:row>
      <xdr:rowOff>609600</xdr:rowOff>
    </xdr:to>
    <xdr:pic>
      <xdr:nvPicPr>
        <xdr:cNvPr id="30" name=" Screenshot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1821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13</xdr:row>
      <xdr:rowOff>0</xdr:rowOff>
    </xdr:from>
    <xdr:to>
      <xdr:col>7</xdr:col>
      <xdr:colOff>781050</xdr:colOff>
      <xdr:row>13</xdr:row>
      <xdr:rowOff>609600</xdr:rowOff>
    </xdr:to>
    <xdr:pic>
      <xdr:nvPicPr>
        <xdr:cNvPr id="31" name=" Screenshot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98107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14</xdr:row>
      <xdr:rowOff>0</xdr:rowOff>
    </xdr:from>
    <xdr:to>
      <xdr:col>7</xdr:col>
      <xdr:colOff>781050</xdr:colOff>
      <xdr:row>14</xdr:row>
      <xdr:rowOff>609600</xdr:rowOff>
    </xdr:to>
    <xdr:pic>
      <xdr:nvPicPr>
        <xdr:cNvPr id="32" name=" Screensho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04394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18</xdr:row>
      <xdr:rowOff>0</xdr:rowOff>
    </xdr:from>
    <xdr:to>
      <xdr:col>7</xdr:col>
      <xdr:colOff>781050</xdr:colOff>
      <xdr:row>18</xdr:row>
      <xdr:rowOff>609600</xdr:rowOff>
    </xdr:to>
    <xdr:pic>
      <xdr:nvPicPr>
        <xdr:cNvPr id="36" name=" Screenshot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29540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20</xdr:row>
      <xdr:rowOff>0</xdr:rowOff>
    </xdr:from>
    <xdr:to>
      <xdr:col>7</xdr:col>
      <xdr:colOff>781050</xdr:colOff>
      <xdr:row>20</xdr:row>
      <xdr:rowOff>609600</xdr:rowOff>
    </xdr:to>
    <xdr:pic>
      <xdr:nvPicPr>
        <xdr:cNvPr id="38" name=" Screenshot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142113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19</xdr:row>
      <xdr:rowOff>19050</xdr:rowOff>
    </xdr:from>
    <xdr:to>
      <xdr:col>7</xdr:col>
      <xdr:colOff>781050</xdr:colOff>
      <xdr:row>20</xdr:row>
      <xdr:rowOff>0</xdr:rowOff>
    </xdr:to>
    <xdr:pic>
      <xdr:nvPicPr>
        <xdr:cNvPr id="39" name=" Screenshot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3100" y="136017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17</xdr:row>
      <xdr:rowOff>9525</xdr:rowOff>
    </xdr:from>
    <xdr:to>
      <xdr:col>7</xdr:col>
      <xdr:colOff>762000</xdr:colOff>
      <xdr:row>17</xdr:row>
      <xdr:rowOff>619125</xdr:rowOff>
    </xdr:to>
    <xdr:pic>
      <xdr:nvPicPr>
        <xdr:cNvPr id="40" name=" Screenshot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1233487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16</xdr:row>
      <xdr:rowOff>9525</xdr:rowOff>
    </xdr:from>
    <xdr:to>
      <xdr:col>7</xdr:col>
      <xdr:colOff>762000</xdr:colOff>
      <xdr:row>16</xdr:row>
      <xdr:rowOff>619125</xdr:rowOff>
    </xdr:to>
    <xdr:pic>
      <xdr:nvPicPr>
        <xdr:cNvPr id="41" name=" Screenshot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4050" y="11706225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15</xdr:row>
      <xdr:rowOff>9525</xdr:rowOff>
    </xdr:from>
    <xdr:to>
      <xdr:col>7</xdr:col>
      <xdr:colOff>790575</xdr:colOff>
      <xdr:row>15</xdr:row>
      <xdr:rowOff>619125</xdr:rowOff>
    </xdr:to>
    <xdr:pic>
      <xdr:nvPicPr>
        <xdr:cNvPr id="42" name=" Screenshot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1077575"/>
          <a:ext cx="609600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3600450</xdr:colOff>
      <xdr:row>0</xdr:row>
      <xdr:rowOff>95251</xdr:rowOff>
    </xdr:from>
    <xdr:to>
      <xdr:col>1</xdr:col>
      <xdr:colOff>5057775</xdr:colOff>
      <xdr:row>0</xdr:row>
      <xdr:rowOff>423149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40BC7-43B3-4857-9E71-618B09A1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75" y="95251"/>
          <a:ext cx="1457325" cy="3278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1:J21" totalsRowShown="0" headerRowDxfId="22" dataDxfId="21" tableBorderDxfId="20">
  <tableColumns count="10">
    <tableColumn id="4" xr3:uid="{00000000-0010-0000-0200-000004000000}" name="Category" dataDxfId="19" totalsRowDxfId="18"/>
    <tableColumn id="2" xr3:uid="{00000000-0010-0000-0200-000002000000}" name="Part #" dataDxfId="17" totalsRowDxfId="16"/>
    <tableColumn id="9" xr3:uid="{00000000-0010-0000-0200-000009000000}" name="Elem ID" dataDxfId="15" totalsRowDxfId="14"/>
    <tableColumn id="1" xr3:uid="{00000000-0010-0000-0200-000001000000}" name="Part Name" dataDxfId="13" totalsRowDxfId="12"/>
    <tableColumn id="10" xr3:uid="{00000000-0010-0000-0200-00000A000000}" name="Color" dataDxfId="11" totalsRowDxfId="10"/>
    <tableColumn id="5" xr3:uid="{00000000-0010-0000-0200-000005000000}" name="Qty" dataDxfId="9" totalsRowDxfId="8"/>
    <tableColumn id="7" xr3:uid="{00000000-0010-0000-0200-000007000000}" name="Units" dataDxfId="7" totalsRowDxfId="6"/>
    <tableColumn id="12" xr3:uid="{00000000-0010-0000-0200-00000C000000}" name="Picture" dataDxfId="5" totalsRowDxfId="4"/>
    <tableColumn id="6" xr3:uid="{00000000-0010-0000-0200-000006000000}" name="Unit Cost" dataDxfId="3" totalsRowDxfId="2" dataCellStyle="Currency"/>
    <tableColumn id="3" xr3:uid="{00000000-0010-0000-0200-000003000000}" name="Cost" dataDxfId="1" totalsRowDxfId="0">
      <calculatedColumnFormula>Table14[[#This Row],[Qty]]*Table14[[#This Row],[Unit Cost]]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ertex42">
  <a:themeElements>
    <a:clrScheme name="Vertex4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bill-of-materials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2"/>
  <sheetViews>
    <sheetView showGridLines="0" tabSelected="1" zoomScaleNormal="100" workbookViewId="0">
      <selection activeCell="F4" sqref="F4"/>
    </sheetView>
  </sheetViews>
  <sheetFormatPr defaultColWidth="9" defaultRowHeight="14.5" x14ac:dyDescent="0.35"/>
  <cols>
    <col min="1" max="1" width="9.58203125" customWidth="1"/>
    <col min="2" max="3" width="7.5" style="1" customWidth="1"/>
    <col min="4" max="4" width="18.75" style="1" customWidth="1"/>
    <col min="5" max="5" width="14.58203125" style="1" customWidth="1"/>
    <col min="6" max="6" width="6.33203125" customWidth="1"/>
    <col min="7" max="7" width="6.08203125" customWidth="1"/>
    <col min="8" max="8" width="11.83203125" customWidth="1"/>
    <col min="9" max="9" width="8.58203125" style="1" customWidth="1"/>
    <col min="10" max="10" width="8.33203125" style="1" customWidth="1"/>
    <col min="11" max="16384" width="9" style="1"/>
  </cols>
  <sheetData>
    <row r="1" spans="1:10" ht="19.5" customHeight="1" x14ac:dyDescent="0.35">
      <c r="A1" s="9" t="s">
        <v>8</v>
      </c>
      <c r="B1" s="7" t="s">
        <v>2</v>
      </c>
      <c r="C1" s="7" t="s">
        <v>34</v>
      </c>
      <c r="D1" s="7" t="s">
        <v>1</v>
      </c>
      <c r="E1" s="7" t="s">
        <v>40</v>
      </c>
      <c r="F1" s="2" t="s">
        <v>9</v>
      </c>
      <c r="G1" s="2" t="s">
        <v>10</v>
      </c>
      <c r="H1" s="2" t="s">
        <v>3</v>
      </c>
      <c r="I1" s="2" t="s">
        <v>0</v>
      </c>
      <c r="J1" s="2" t="s">
        <v>7</v>
      </c>
    </row>
    <row r="2" spans="1:10" ht="50.15" customHeight="1" x14ac:dyDescent="0.35">
      <c r="A2" s="6" t="s">
        <v>32</v>
      </c>
      <c r="B2" s="8">
        <v>50746</v>
      </c>
      <c r="C2" s="8">
        <v>4504369</v>
      </c>
      <c r="D2" s="6" t="s">
        <v>31</v>
      </c>
      <c r="E2" s="6" t="s">
        <v>28</v>
      </c>
      <c r="F2" s="3">
        <v>1</v>
      </c>
      <c r="G2" s="3" t="s">
        <v>12</v>
      </c>
      <c r="H2" s="1"/>
      <c r="I2" s="4">
        <v>0.1</v>
      </c>
      <c r="J2" s="5">
        <f>Table14[[#This Row],[Qty]]*Table14[[#This Row],[Unit Cost]]</f>
        <v>0.1</v>
      </c>
    </row>
    <row r="3" spans="1:10" ht="50.15" customHeight="1" x14ac:dyDescent="0.35">
      <c r="A3" s="6" t="s">
        <v>33</v>
      </c>
      <c r="B3" s="8">
        <v>3024</v>
      </c>
      <c r="C3" s="8">
        <v>302401</v>
      </c>
      <c r="D3" s="6" t="s">
        <v>13</v>
      </c>
      <c r="E3" s="6" t="s">
        <v>28</v>
      </c>
      <c r="F3" s="3">
        <v>1</v>
      </c>
      <c r="G3" s="3" t="s">
        <v>12</v>
      </c>
      <c r="H3" s="1"/>
      <c r="I3" s="4">
        <v>0.1</v>
      </c>
      <c r="J3" s="5">
        <f>Table14[[#This Row],[Qty]]*Table14[[#This Row],[Unit Cost]]</f>
        <v>0.1</v>
      </c>
    </row>
    <row r="4" spans="1:10" ht="50.15" customHeight="1" x14ac:dyDescent="0.35">
      <c r="A4" s="6" t="s">
        <v>33</v>
      </c>
      <c r="B4" s="8">
        <v>3023</v>
      </c>
      <c r="C4" s="8">
        <v>302301</v>
      </c>
      <c r="D4" s="6" t="s">
        <v>14</v>
      </c>
      <c r="E4" s="6" t="s">
        <v>50</v>
      </c>
      <c r="F4" s="3">
        <v>4</v>
      </c>
      <c r="G4" s="3" t="s">
        <v>12</v>
      </c>
      <c r="H4" s="1"/>
      <c r="I4" s="4">
        <v>0.1</v>
      </c>
      <c r="J4" s="5">
        <f>Table14[[#This Row],[Qty]]*Table14[[#This Row],[Unit Cost]]</f>
        <v>0.4</v>
      </c>
    </row>
    <row r="5" spans="1:10" ht="50.15" customHeight="1" x14ac:dyDescent="0.35">
      <c r="A5" s="6" t="s">
        <v>33</v>
      </c>
      <c r="B5" s="8">
        <v>3023</v>
      </c>
      <c r="C5" s="8">
        <v>4211398</v>
      </c>
      <c r="D5" s="6" t="s">
        <v>14</v>
      </c>
      <c r="E5" s="6" t="s">
        <v>6</v>
      </c>
      <c r="F5" s="3">
        <v>1</v>
      </c>
      <c r="G5" s="3" t="s">
        <v>12</v>
      </c>
      <c r="H5" s="1"/>
      <c r="I5" s="4">
        <v>0.1</v>
      </c>
      <c r="J5" s="5">
        <f>Table14[[#This Row],[Qty]]*Table14[[#This Row],[Unit Cost]]</f>
        <v>0.1</v>
      </c>
    </row>
    <row r="6" spans="1:10" ht="50.15" customHeight="1" x14ac:dyDescent="0.35">
      <c r="A6" s="6" t="s">
        <v>33</v>
      </c>
      <c r="B6" s="8">
        <v>3794</v>
      </c>
      <c r="C6" s="8">
        <v>379401</v>
      </c>
      <c r="D6" s="6" t="s">
        <v>4</v>
      </c>
      <c r="E6" s="6" t="s">
        <v>28</v>
      </c>
      <c r="F6" s="3">
        <v>1</v>
      </c>
      <c r="G6" s="3" t="s">
        <v>12</v>
      </c>
      <c r="H6" s="1"/>
      <c r="I6" s="4">
        <v>0.1</v>
      </c>
      <c r="J6" s="5">
        <f>Table14[[#This Row],[Qty]]*Table14[[#This Row],[Unit Cost]]</f>
        <v>0.1</v>
      </c>
    </row>
    <row r="7" spans="1:10" ht="50.15" customHeight="1" x14ac:dyDescent="0.35">
      <c r="A7" s="6" t="s">
        <v>33</v>
      </c>
      <c r="B7" s="8">
        <v>3623</v>
      </c>
      <c r="C7" s="8">
        <v>362301</v>
      </c>
      <c r="D7" s="6" t="s">
        <v>15</v>
      </c>
      <c r="E7" s="6" t="s">
        <v>28</v>
      </c>
      <c r="F7" s="3">
        <v>1</v>
      </c>
      <c r="G7" s="3" t="s">
        <v>12</v>
      </c>
      <c r="H7" s="1"/>
      <c r="I7" s="4">
        <v>0.1</v>
      </c>
      <c r="J7" s="5">
        <f>Table14[[#This Row],[Qty]]*Table14[[#This Row],[Unit Cost]]</f>
        <v>0.1</v>
      </c>
    </row>
    <row r="8" spans="1:10" ht="50.15" customHeight="1" x14ac:dyDescent="0.35">
      <c r="A8" s="6" t="s">
        <v>33</v>
      </c>
      <c r="B8" s="8">
        <v>3623</v>
      </c>
      <c r="C8" s="8">
        <v>362321</v>
      </c>
      <c r="D8" s="6" t="s">
        <v>15</v>
      </c>
      <c r="E8" s="6" t="s">
        <v>29</v>
      </c>
      <c r="F8" s="3">
        <v>1</v>
      </c>
      <c r="G8" s="3" t="s">
        <v>12</v>
      </c>
      <c r="H8" s="1"/>
      <c r="I8" s="4">
        <v>0.1</v>
      </c>
      <c r="J8" s="5">
        <f>Table14[[#This Row],[Qty]]*Table14[[#This Row],[Unit Cost]]</f>
        <v>0.1</v>
      </c>
    </row>
    <row r="9" spans="1:10" ht="50.15" customHeight="1" x14ac:dyDescent="0.35">
      <c r="A9" s="6" t="s">
        <v>33</v>
      </c>
      <c r="B9" s="8">
        <v>94148</v>
      </c>
      <c r="C9" s="8">
        <v>302201</v>
      </c>
      <c r="D9" s="6" t="s">
        <v>16</v>
      </c>
      <c r="E9" s="6" t="s">
        <v>28</v>
      </c>
      <c r="F9" s="3">
        <v>1</v>
      </c>
      <c r="G9" s="3" t="s">
        <v>12</v>
      </c>
      <c r="H9" s="1"/>
      <c r="I9" s="4">
        <v>0.15</v>
      </c>
      <c r="J9" s="5">
        <f>Table14[[#This Row],[Qty]]*Table14[[#This Row],[Unit Cost]]</f>
        <v>0.15</v>
      </c>
    </row>
    <row r="10" spans="1:10" ht="50.15" customHeight="1" x14ac:dyDescent="0.35">
      <c r="A10" s="6" t="s">
        <v>35</v>
      </c>
      <c r="B10" s="8">
        <v>6141</v>
      </c>
      <c r="C10" s="8">
        <v>4210633</v>
      </c>
      <c r="D10" s="6" t="s">
        <v>5</v>
      </c>
      <c r="E10" s="6" t="s">
        <v>30</v>
      </c>
      <c r="F10" s="3">
        <v>1</v>
      </c>
      <c r="G10" s="3" t="s">
        <v>12</v>
      </c>
      <c r="H10" s="1"/>
      <c r="I10" s="4">
        <v>0.1</v>
      </c>
      <c r="J10" s="5">
        <f>Table14[[#This Row],[Qty]]*Table14[[#This Row],[Unit Cost]]</f>
        <v>0.1</v>
      </c>
    </row>
    <row r="11" spans="1:10" ht="50.15" customHeight="1" x14ac:dyDescent="0.35">
      <c r="A11" s="6" t="s">
        <v>35</v>
      </c>
      <c r="B11" s="8">
        <v>3070</v>
      </c>
      <c r="C11" s="8">
        <v>307021</v>
      </c>
      <c r="D11" s="6" t="s">
        <v>17</v>
      </c>
      <c r="E11" s="6" t="s">
        <v>29</v>
      </c>
      <c r="F11" s="3">
        <v>4</v>
      </c>
      <c r="G11" s="3" t="s">
        <v>12</v>
      </c>
      <c r="H11" s="1"/>
      <c r="I11" s="4">
        <v>0.1</v>
      </c>
      <c r="J11" s="5">
        <f>Table14[[#This Row],[Qty]]*Table14[[#This Row],[Unit Cost]]</f>
        <v>0.4</v>
      </c>
    </row>
    <row r="12" spans="1:10" ht="50.15" customHeight="1" x14ac:dyDescent="0.35">
      <c r="A12" s="6" t="s">
        <v>35</v>
      </c>
      <c r="B12" s="8">
        <v>2412</v>
      </c>
      <c r="C12" s="8">
        <v>241201</v>
      </c>
      <c r="D12" s="6" t="s">
        <v>18</v>
      </c>
      <c r="E12" s="6" t="s">
        <v>28</v>
      </c>
      <c r="F12" s="3">
        <v>1</v>
      </c>
      <c r="G12" s="3" t="s">
        <v>12</v>
      </c>
      <c r="H12" s="1"/>
      <c r="I12" s="4">
        <v>0.1</v>
      </c>
      <c r="J12" s="5">
        <f>Table14[[#This Row],[Qty]]*Table14[[#This Row],[Unit Cost]]</f>
        <v>0.1</v>
      </c>
    </row>
    <row r="13" spans="1:10" ht="50.15" customHeight="1" x14ac:dyDescent="0.35">
      <c r="A13" s="6" t="s">
        <v>35</v>
      </c>
      <c r="B13" s="8">
        <v>6019</v>
      </c>
      <c r="C13" s="8">
        <v>4538353</v>
      </c>
      <c r="D13" s="6" t="s">
        <v>19</v>
      </c>
      <c r="E13" s="6" t="s">
        <v>28</v>
      </c>
      <c r="F13" s="3">
        <v>4</v>
      </c>
      <c r="G13" s="3" t="s">
        <v>12</v>
      </c>
      <c r="H13" s="1"/>
      <c r="I13" s="4">
        <v>0.15</v>
      </c>
      <c r="J13" s="5">
        <f>Table14[[#This Row],[Qty]]*Table14[[#This Row],[Unit Cost]]</f>
        <v>0.6</v>
      </c>
    </row>
    <row r="14" spans="1:10" ht="50.15" customHeight="1" x14ac:dyDescent="0.35">
      <c r="A14" s="6" t="s">
        <v>35</v>
      </c>
      <c r="B14" s="8">
        <v>2431</v>
      </c>
      <c r="C14" s="8">
        <v>4558168</v>
      </c>
      <c r="D14" s="6" t="s">
        <v>20</v>
      </c>
      <c r="E14" s="6" t="s">
        <v>28</v>
      </c>
      <c r="F14" s="3">
        <v>1</v>
      </c>
      <c r="G14" s="3" t="s">
        <v>12</v>
      </c>
      <c r="H14" s="1"/>
      <c r="I14" s="4">
        <v>0.2</v>
      </c>
      <c r="J14" s="5">
        <f>Table14[[#This Row],[Qty]]*Table14[[#This Row],[Unit Cost]]</f>
        <v>0.2</v>
      </c>
    </row>
    <row r="15" spans="1:10" ht="50.15" customHeight="1" x14ac:dyDescent="0.35">
      <c r="A15" s="6" t="s">
        <v>35</v>
      </c>
      <c r="B15" s="8">
        <v>63868</v>
      </c>
      <c r="C15" s="8">
        <v>4535737</v>
      </c>
      <c r="D15" s="6" t="s">
        <v>21</v>
      </c>
      <c r="E15" s="6" t="s">
        <v>28</v>
      </c>
      <c r="F15" s="3">
        <v>4</v>
      </c>
      <c r="G15" s="3" t="s">
        <v>12</v>
      </c>
      <c r="H15" s="1"/>
      <c r="I15" s="4">
        <v>0.15</v>
      </c>
      <c r="J15" s="5">
        <f>Table14[[#This Row],[Qty]]*Table14[[#This Row],[Unit Cost]]</f>
        <v>0.6</v>
      </c>
    </row>
    <row r="16" spans="1:10" ht="50.15" customHeight="1" x14ac:dyDescent="0.35">
      <c r="A16" s="6" t="s">
        <v>35</v>
      </c>
      <c r="B16" s="8">
        <v>2540</v>
      </c>
      <c r="C16" s="8">
        <v>4211632</v>
      </c>
      <c r="D16" s="6" t="s">
        <v>22</v>
      </c>
      <c r="E16" s="6" t="s">
        <v>6</v>
      </c>
      <c r="F16" s="3">
        <v>4</v>
      </c>
      <c r="G16" s="3" t="s">
        <v>12</v>
      </c>
      <c r="H16" s="1"/>
      <c r="I16" s="4">
        <v>0.15</v>
      </c>
      <c r="J16" s="5">
        <f>Table14[[#This Row],[Qty]]*Table14[[#This Row],[Unit Cost]]</f>
        <v>0.6</v>
      </c>
    </row>
    <row r="17" spans="1:10" ht="50.15" customHeight="1" x14ac:dyDescent="0.35">
      <c r="A17" s="6" t="s">
        <v>35</v>
      </c>
      <c r="B17" s="8">
        <v>3176</v>
      </c>
      <c r="C17" s="8">
        <v>4225733</v>
      </c>
      <c r="D17" s="6" t="s">
        <v>23</v>
      </c>
      <c r="E17" s="6" t="s">
        <v>30</v>
      </c>
      <c r="F17" s="3">
        <v>1</v>
      </c>
      <c r="G17" s="3" t="s">
        <v>12</v>
      </c>
      <c r="H17" s="1"/>
      <c r="I17" s="4">
        <v>0.2</v>
      </c>
      <c r="J17" s="5">
        <f>Table14[[#This Row],[Qty]]*Table14[[#This Row],[Unit Cost]]</f>
        <v>0.2</v>
      </c>
    </row>
    <row r="18" spans="1:10" ht="50.15" customHeight="1" x14ac:dyDescent="0.35">
      <c r="A18" s="6" t="s">
        <v>36</v>
      </c>
      <c r="B18" s="8">
        <v>49668</v>
      </c>
      <c r="C18" s="8">
        <v>4224793</v>
      </c>
      <c r="D18" s="6" t="s">
        <v>24</v>
      </c>
      <c r="E18" s="6" t="s">
        <v>39</v>
      </c>
      <c r="F18" s="3">
        <v>1</v>
      </c>
      <c r="G18" s="3" t="s">
        <v>12</v>
      </c>
      <c r="H18" s="1"/>
      <c r="I18" s="4">
        <v>0.1</v>
      </c>
      <c r="J18" s="5">
        <f>Table14[[#This Row],[Qty]]*Table14[[#This Row],[Unit Cost]]</f>
        <v>0.1</v>
      </c>
    </row>
    <row r="19" spans="1:10" ht="50.15" customHeight="1" x14ac:dyDescent="0.35">
      <c r="A19" s="6" t="s">
        <v>37</v>
      </c>
      <c r="B19" s="8">
        <v>32123</v>
      </c>
      <c r="C19" s="8">
        <v>4211573</v>
      </c>
      <c r="D19" s="6" t="s">
        <v>25</v>
      </c>
      <c r="E19" s="6" t="s">
        <v>6</v>
      </c>
      <c r="F19" s="3">
        <v>4</v>
      </c>
      <c r="G19" s="3" t="s">
        <v>12</v>
      </c>
      <c r="H19" s="1"/>
      <c r="I19" s="4">
        <v>0.1</v>
      </c>
      <c r="J19" s="5">
        <f>Table14[[#This Row],[Qty]]*Table14[[#This Row],[Unit Cost]]</f>
        <v>0.4</v>
      </c>
    </row>
    <row r="20" spans="1:10" ht="50.15" customHeight="1" x14ac:dyDescent="0.35">
      <c r="A20" s="6" t="s">
        <v>37</v>
      </c>
      <c r="B20" s="8">
        <v>6590</v>
      </c>
      <c r="C20" s="8">
        <v>4211622</v>
      </c>
      <c r="D20" s="6" t="s">
        <v>26</v>
      </c>
      <c r="E20" s="6" t="s">
        <v>6</v>
      </c>
      <c r="F20" s="3">
        <v>8</v>
      </c>
      <c r="G20" s="3" t="s">
        <v>12</v>
      </c>
      <c r="H20" s="1"/>
      <c r="I20" s="4">
        <v>0.15</v>
      </c>
      <c r="J20" s="5">
        <f>Table14[[#This Row],[Qty]]*Table14[[#This Row],[Unit Cost]]</f>
        <v>1.2</v>
      </c>
    </row>
    <row r="21" spans="1:10" ht="50.15" customHeight="1" x14ac:dyDescent="0.35">
      <c r="A21" s="6" t="s">
        <v>38</v>
      </c>
      <c r="B21" s="8">
        <v>3957</v>
      </c>
      <c r="C21" s="8">
        <v>4211473</v>
      </c>
      <c r="D21" s="6" t="s">
        <v>27</v>
      </c>
      <c r="E21" s="6" t="s">
        <v>6</v>
      </c>
      <c r="F21" s="3">
        <v>4</v>
      </c>
      <c r="G21" s="3" t="s">
        <v>12</v>
      </c>
      <c r="H21" s="1"/>
      <c r="I21" s="4">
        <v>0.1</v>
      </c>
      <c r="J21" s="5">
        <f>Table14[[#This Row],[Qty]]*Table14[[#This Row],[Unit Cost]]</f>
        <v>0.4</v>
      </c>
    </row>
    <row r="22" spans="1:10" x14ac:dyDescent="0.35">
      <c r="A22" s="1"/>
    </row>
  </sheetData>
  <printOptions horizontalCentered="1"/>
  <pageMargins left="0.25" right="0.25" top="0.25" bottom="0.25" header="0.5" footer="0.5"/>
  <pageSetup scale="94" fitToHeight="0" orientation="portrait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showGridLines="0" workbookViewId="0"/>
  </sheetViews>
  <sheetFormatPr defaultRowHeight="14" x14ac:dyDescent="0.3"/>
  <cols>
    <col min="1" max="1" width="2.58203125" style="16" customWidth="1"/>
    <col min="2" max="2" width="66.5" style="16" customWidth="1"/>
  </cols>
  <sheetData>
    <row r="1" spans="1:3" ht="42" customHeight="1" x14ac:dyDescent="0.3">
      <c r="A1" s="10"/>
      <c r="B1" s="17" t="s">
        <v>11</v>
      </c>
      <c r="C1" s="11"/>
    </row>
    <row r="2" spans="1:3" ht="15.5" x14ac:dyDescent="0.35">
      <c r="A2" s="10"/>
      <c r="B2" s="12"/>
      <c r="C2" s="11"/>
    </row>
    <row r="3" spans="1:3" x14ac:dyDescent="0.3">
      <c r="A3" s="10"/>
      <c r="B3" s="11" t="s">
        <v>41</v>
      </c>
      <c r="C3" s="11"/>
    </row>
    <row r="4" spans="1:3" x14ac:dyDescent="0.3">
      <c r="A4" s="10"/>
      <c r="B4" s="18" t="s">
        <v>44</v>
      </c>
      <c r="C4" s="11"/>
    </row>
    <row r="5" spans="1:3" ht="15.5" x14ac:dyDescent="0.35">
      <c r="A5" s="10"/>
      <c r="B5" s="13"/>
      <c r="C5" s="11"/>
    </row>
    <row r="6" spans="1:3" ht="15.5" x14ac:dyDescent="0.35">
      <c r="A6" s="10"/>
      <c r="B6" s="14" t="s">
        <v>49</v>
      </c>
      <c r="C6" s="11"/>
    </row>
    <row r="7" spans="1:3" ht="15.5" x14ac:dyDescent="0.35">
      <c r="A7" s="10"/>
      <c r="B7" s="13"/>
      <c r="C7" s="11"/>
    </row>
    <row r="8" spans="1:3" ht="31" x14ac:dyDescent="0.35">
      <c r="A8" s="10"/>
      <c r="B8" s="13" t="s">
        <v>46</v>
      </c>
      <c r="C8" s="11"/>
    </row>
    <row r="9" spans="1:3" ht="15.5" x14ac:dyDescent="0.35">
      <c r="A9" s="10"/>
      <c r="B9" s="13"/>
      <c r="C9" s="11"/>
    </row>
    <row r="10" spans="1:3" ht="31" x14ac:dyDescent="0.35">
      <c r="A10" s="10"/>
      <c r="B10" s="13" t="s">
        <v>42</v>
      </c>
      <c r="C10" s="11"/>
    </row>
    <row r="11" spans="1:3" ht="15.5" x14ac:dyDescent="0.35">
      <c r="A11" s="10"/>
      <c r="B11" s="13"/>
      <c r="C11" s="11"/>
    </row>
    <row r="12" spans="1:3" ht="31" x14ac:dyDescent="0.35">
      <c r="A12" s="10"/>
      <c r="B12" s="13" t="s">
        <v>43</v>
      </c>
      <c r="C12" s="11"/>
    </row>
    <row r="13" spans="1:3" ht="15.5" x14ac:dyDescent="0.35">
      <c r="A13" s="10"/>
      <c r="B13" s="13"/>
      <c r="C13" s="11"/>
    </row>
    <row r="14" spans="1:3" ht="15.5" x14ac:dyDescent="0.35">
      <c r="A14" s="10"/>
      <c r="B14" s="14" t="s">
        <v>48</v>
      </c>
      <c r="C14" s="11"/>
    </row>
    <row r="15" spans="1:3" ht="15.5" x14ac:dyDescent="0.35">
      <c r="A15" s="10"/>
      <c r="B15" s="19" t="s">
        <v>45</v>
      </c>
      <c r="C15" s="11"/>
    </row>
    <row r="16" spans="1:3" ht="15.5" x14ac:dyDescent="0.35">
      <c r="A16" s="10"/>
      <c r="B16" s="15"/>
      <c r="C16" s="11"/>
    </row>
    <row r="17" spans="1:3" x14ac:dyDescent="0.3">
      <c r="A17" s="10"/>
      <c r="B17" s="20" t="s">
        <v>47</v>
      </c>
      <c r="C17" s="11"/>
    </row>
    <row r="18" spans="1:3" x14ac:dyDescent="0.3">
      <c r="A18" s="10"/>
      <c r="B18" s="10"/>
      <c r="C18" s="11"/>
    </row>
    <row r="19" spans="1:3" x14ac:dyDescent="0.3">
      <c r="A19" s="10"/>
      <c r="B19" s="10"/>
      <c r="C19" s="11"/>
    </row>
    <row r="20" spans="1:3" x14ac:dyDescent="0.3">
      <c r="A20" s="10"/>
      <c r="B20" s="10"/>
      <c r="C20" s="11"/>
    </row>
    <row r="21" spans="1:3" x14ac:dyDescent="0.3">
      <c r="A21" s="10"/>
      <c r="B21" s="10"/>
      <c r="C21" s="11"/>
    </row>
    <row r="22" spans="1:3" x14ac:dyDescent="0.3">
      <c r="A22" s="10"/>
      <c r="B22" s="10"/>
      <c r="C22" s="11"/>
    </row>
    <row r="23" spans="1:3" x14ac:dyDescent="0.3">
      <c r="A23" s="10"/>
      <c r="B23" s="10"/>
      <c r="C23" s="11"/>
    </row>
    <row r="24" spans="1:3" x14ac:dyDescent="0.3">
      <c r="A24" s="10"/>
      <c r="B24" s="10"/>
      <c r="C24" s="11"/>
    </row>
    <row r="25" spans="1:3" x14ac:dyDescent="0.3">
      <c r="A25" s="10"/>
      <c r="B25" s="10"/>
      <c r="C25" s="11"/>
    </row>
    <row r="26" spans="1:3" x14ac:dyDescent="0.3">
      <c r="A26" s="10"/>
      <c r="B26" s="10"/>
      <c r="C26" s="11"/>
    </row>
    <row r="27" spans="1:3" x14ac:dyDescent="0.3">
      <c r="A27" s="10"/>
      <c r="B27" s="10"/>
      <c r="C27" s="11"/>
    </row>
    <row r="28" spans="1:3" x14ac:dyDescent="0.3">
      <c r="A28" s="10"/>
      <c r="B28" s="10"/>
      <c r="C28" s="11"/>
    </row>
    <row r="29" spans="1:3" x14ac:dyDescent="0.3">
      <c r="A29" s="10"/>
      <c r="B29" s="10"/>
      <c r="C29" s="11"/>
    </row>
  </sheetData>
  <hyperlinks>
    <hyperlink ref="B4" r:id="rId1" xr:uid="{00000000-0004-0000-0300-000000000000}"/>
    <hyperlink ref="B15" r:id="rId2" xr:uid="{00000000-0004-0000-0300-000001000000}"/>
  </hyperlinks>
  <pageMargins left="0.7" right="0.7" top="0.75" bottom="0.75" header="0.3" footer="0.3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124E69AA-3065-4212-8D71-72A221C325A1}"/>
</file>

<file path=customXml/itemProps2.xml><?xml version="1.0" encoding="utf-8"?>
<ds:datastoreItem xmlns:ds="http://schemas.openxmlformats.org/officeDocument/2006/customXml" ds:itemID="{2F5D7BB8-386D-481E-9FB5-A9F5FD0CE1B2}"/>
</file>

<file path=customXml/itemProps3.xml><?xml version="1.0" encoding="utf-8"?>
<ds:datastoreItem xmlns:ds="http://schemas.openxmlformats.org/officeDocument/2006/customXml" ds:itemID="{CCA9DD87-D67F-4C03-85F7-E4014F5F1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Example</vt:lpstr>
      <vt:lpstr>©</vt:lpstr>
      <vt:lpstr>Example!Print_Area</vt:lpstr>
      <vt:lpstr>Example!Print_Titles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 of Materials Template</dc:title>
  <dc:creator>Vertex42.com</dc:creator>
  <dc:description>(c) 2012-2019 Vertex42 LLC. All Rights Reserved.</dc:description>
  <cp:lastModifiedBy>Bustamante, Guillermo</cp:lastModifiedBy>
  <cp:lastPrinted>2019-03-25T22:28:09Z</cp:lastPrinted>
  <dcterms:created xsi:type="dcterms:W3CDTF">2007-12-24T15:22:31Z</dcterms:created>
  <dcterms:modified xsi:type="dcterms:W3CDTF">2026-02-21T20:48:09Z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2012-2019 Vertex42 LLC</vt:lpwstr>
  </property>
  <property fmtid="{D5CDD505-2E9C-101B-9397-08002B2CF9AE}" pid="3" name="Source">
    <vt:lpwstr>https://www.vertex42.com/ExcelTemplates/bill-of-materials.html</vt:lpwstr>
  </property>
  <property fmtid="{D5CDD505-2E9C-101B-9397-08002B2CF9AE}" pid="4" name="Version">
    <vt:lpwstr>1.1.2</vt:lpwstr>
  </property>
  <property fmtid="{D5CDD505-2E9C-101B-9397-08002B2CF9AE}" pid="5" name="ContentTypeId">
    <vt:lpwstr>0x010100D7611E6AA8535241BE29FC51227849F5</vt:lpwstr>
  </property>
</Properties>
</file>